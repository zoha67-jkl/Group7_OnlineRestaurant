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sham\Desktop\"/>
    </mc:Choice>
  </mc:AlternateContent>
  <xr:revisionPtr revIDLastSave="0" documentId="8_{3663006D-79FE-4D24-B183-60A921FA0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Profit_Calculations" sheetId="2" r:id="rId2"/>
    <sheet name="Summar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D16" i="2"/>
  <c r="C16" i="2"/>
  <c r="F16" i="2" s="1"/>
  <c r="B16" i="2"/>
  <c r="E16" i="2" s="1"/>
  <c r="G16" i="2" s="1"/>
  <c r="A16" i="2"/>
  <c r="D15" i="2"/>
  <c r="C15" i="2"/>
  <c r="F15" i="2" s="1"/>
  <c r="B15" i="2"/>
  <c r="E15" i="2" s="1"/>
  <c r="G15" i="2" s="1"/>
  <c r="A15" i="2"/>
  <c r="F14" i="2"/>
  <c r="H14" i="2" s="1"/>
  <c r="D14" i="2"/>
  <c r="C14" i="2"/>
  <c r="A14" i="2"/>
  <c r="D13" i="2"/>
  <c r="C13" i="2"/>
  <c r="F13" i="2" s="1"/>
  <c r="B13" i="2"/>
  <c r="E13" i="2" s="1"/>
  <c r="G13" i="2" s="1"/>
  <c r="A13" i="2"/>
  <c r="D12" i="2"/>
  <c r="C12" i="2"/>
  <c r="F12" i="2" s="1"/>
  <c r="A12" i="2"/>
  <c r="F11" i="2"/>
  <c r="H11" i="2" s="1"/>
  <c r="D11" i="2"/>
  <c r="C11" i="2"/>
  <c r="A11" i="2"/>
  <c r="D10" i="2"/>
  <c r="C10" i="2"/>
  <c r="F10" i="2" s="1"/>
  <c r="A10" i="2"/>
  <c r="D9" i="2"/>
  <c r="C9" i="2"/>
  <c r="F9" i="2" s="1"/>
  <c r="A9" i="2"/>
  <c r="F8" i="2"/>
  <c r="D8" i="2"/>
  <c r="C8" i="2"/>
  <c r="A8" i="2"/>
  <c r="D7" i="2"/>
  <c r="C7" i="2"/>
  <c r="F7" i="2" s="1"/>
  <c r="A7" i="2"/>
  <c r="D6" i="2"/>
  <c r="C6" i="2"/>
  <c r="F6" i="2" s="1"/>
  <c r="B6" i="2"/>
  <c r="E6" i="2" s="1"/>
  <c r="G6" i="2" s="1"/>
  <c r="A6" i="2"/>
  <c r="F5" i="2"/>
  <c r="D5" i="2"/>
  <c r="C5" i="2"/>
  <c r="A5" i="2"/>
  <c r="D4" i="2"/>
  <c r="C4" i="2"/>
  <c r="F4" i="2" s="1"/>
  <c r="B4" i="2"/>
  <c r="E4" i="2" s="1"/>
  <c r="A4" i="2"/>
  <c r="D3" i="2"/>
  <c r="C3" i="2"/>
  <c r="F3" i="2" s="1"/>
  <c r="A3" i="2"/>
  <c r="F2" i="2"/>
  <c r="D2" i="2"/>
  <c r="C2" i="2"/>
  <c r="A2" i="2"/>
  <c r="G16" i="1"/>
  <c r="G15" i="1"/>
  <c r="G14" i="1"/>
  <c r="B14" i="2" s="1"/>
  <c r="E14" i="2" s="1"/>
  <c r="G14" i="2" s="1"/>
  <c r="G13" i="1"/>
  <c r="G12" i="1"/>
  <c r="B12" i="2" s="1"/>
  <c r="E12" i="2" s="1"/>
  <c r="G11" i="1"/>
  <c r="B11" i="2" s="1"/>
  <c r="E11" i="2" s="1"/>
  <c r="G11" i="2" s="1"/>
  <c r="G10" i="1"/>
  <c r="B10" i="2" s="1"/>
  <c r="E10" i="2" s="1"/>
  <c r="G10" i="2" s="1"/>
  <c r="G9" i="1"/>
  <c r="B9" i="2" s="1"/>
  <c r="E9" i="2" s="1"/>
  <c r="G9" i="2" s="1"/>
  <c r="G8" i="1"/>
  <c r="B8" i="2" s="1"/>
  <c r="E8" i="2" s="1"/>
  <c r="G8" i="2" s="1"/>
  <c r="G7" i="1"/>
  <c r="B7" i="2" s="1"/>
  <c r="E7" i="2" s="1"/>
  <c r="G6" i="1"/>
  <c r="G5" i="1"/>
  <c r="B5" i="2" s="1"/>
  <c r="E5" i="2" s="1"/>
  <c r="G5" i="2" s="1"/>
  <c r="G4" i="1"/>
  <c r="G3" i="1"/>
  <c r="B3" i="2" s="1"/>
  <c r="E3" i="2" s="1"/>
  <c r="G3" i="2" s="1"/>
  <c r="G2" i="1"/>
  <c r="B2" i="3" l="1"/>
  <c r="H5" i="2"/>
  <c r="H15" i="2"/>
  <c r="H9" i="2"/>
  <c r="H3" i="2"/>
  <c r="H6" i="2"/>
  <c r="G12" i="2"/>
  <c r="H12" i="2" s="1"/>
  <c r="H13" i="2"/>
  <c r="H16" i="2"/>
  <c r="H10" i="2"/>
  <c r="H8" i="2"/>
  <c r="G4" i="2"/>
  <c r="H4" i="2" s="1"/>
  <c r="G7" i="2"/>
  <c r="H7" i="2" s="1"/>
  <c r="B2" i="2"/>
  <c r="E2" i="2" s="1"/>
  <c r="G2" i="2" s="1"/>
  <c r="B4" i="3" l="1"/>
  <c r="B5" i="3" s="1"/>
  <c r="H2" i="2"/>
</calcChain>
</file>

<file path=xl/sharedStrings.xml><?xml version="1.0" encoding="utf-8"?>
<sst xmlns="http://schemas.openxmlformats.org/spreadsheetml/2006/main" count="81" uniqueCount="66">
  <si>
    <t>Item ID</t>
  </si>
  <si>
    <t>Item Name</t>
  </si>
  <si>
    <t>Category</t>
  </si>
  <si>
    <t>Cost Price</t>
  </si>
  <si>
    <t>Selling Price</t>
  </si>
  <si>
    <t>Discount %</t>
  </si>
  <si>
    <t>Final Price</t>
  </si>
  <si>
    <t>Monthly Units Sold</t>
  </si>
  <si>
    <t>A1</t>
  </si>
  <si>
    <t>Calzone Chunks</t>
  </si>
  <si>
    <t>Appetizer</t>
  </si>
  <si>
    <t>A2</t>
  </si>
  <si>
    <t>Bihari Rolls</t>
  </si>
  <si>
    <t>A3</t>
  </si>
  <si>
    <t>Cheesy Sticks</t>
  </si>
  <si>
    <t>A4</t>
  </si>
  <si>
    <t>Chicken Wings</t>
  </si>
  <si>
    <t>A5</t>
  </si>
  <si>
    <t>French Fries</t>
  </si>
  <si>
    <t>P1</t>
  </si>
  <si>
    <t>Crown Crust Pizza</t>
  </si>
  <si>
    <t>Pizza</t>
  </si>
  <si>
    <t>P2</t>
  </si>
  <si>
    <t>Chicken Fajita Pizza</t>
  </si>
  <si>
    <t>P3</t>
  </si>
  <si>
    <t>Cheese Lovers Pizza</t>
  </si>
  <si>
    <t>P4</t>
  </si>
  <si>
    <t>Chicken Tikka Pizza</t>
  </si>
  <si>
    <t>P5</t>
  </si>
  <si>
    <t>Malai Tikka Pizza</t>
  </si>
  <si>
    <t>B1</t>
  </si>
  <si>
    <t>Reggy Burger</t>
  </si>
  <si>
    <t>Burger</t>
  </si>
  <si>
    <t>B2</t>
  </si>
  <si>
    <t>Bazinga Burger</t>
  </si>
  <si>
    <t>B3</t>
  </si>
  <si>
    <t>Bazooka Burger</t>
  </si>
  <si>
    <t>B4</t>
  </si>
  <si>
    <t>Chicken Burger</t>
  </si>
  <si>
    <t>B5</t>
  </si>
  <si>
    <t>Cheese Burger</t>
  </si>
  <si>
    <t>Units</t>
  </si>
  <si>
    <t>Monthly Revenue</t>
  </si>
  <si>
    <t>Monthly Cost</t>
  </si>
  <si>
    <t>Monthly Profit</t>
  </si>
  <si>
    <t>Profit %</t>
  </si>
  <si>
    <t>Metric</t>
  </si>
  <si>
    <t>Value</t>
  </si>
  <si>
    <t>Average Selling Price</t>
  </si>
  <si>
    <t>Average Cost Price</t>
  </si>
  <si>
    <t>Total Monthly Profit</t>
  </si>
  <si>
    <t>Total Yearly Profit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</si>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</sst>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98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Profit_Calculations!$B$1</c:f>
              <c:strCache>
                <c:ptCount val="1"/>
                <c:pt idx="0">
                  <c:v>Final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Profit_Calculations!$B$2:$B$16</c:f>
              <c:numCache>
                <c:formatCode>General</c:formatCode>
                <c:ptCount val="15"/>
                <c:pt idx="0">
                  <c:v>315</c:v>
                </c:pt>
                <c:pt idx="1">
                  <c:v>266</c:v>
                </c:pt>
                <c:pt idx="2">
                  <c:v>320</c:v>
                </c:pt>
                <c:pt idx="3">
                  <c:v>405</c:v>
                </c:pt>
                <c:pt idx="4">
                  <c:v>250</c:v>
                </c:pt>
                <c:pt idx="5">
                  <c:v>722.5</c:v>
                </c:pt>
                <c:pt idx="6">
                  <c:v>810</c:v>
                </c:pt>
                <c:pt idx="7">
                  <c:v>760</c:v>
                </c:pt>
                <c:pt idx="8">
                  <c:v>765</c:v>
                </c:pt>
                <c:pt idx="9">
                  <c:v>765</c:v>
                </c:pt>
                <c:pt idx="10">
                  <c:v>427.5</c:v>
                </c:pt>
                <c:pt idx="11">
                  <c:v>495</c:v>
                </c:pt>
                <c:pt idx="12">
                  <c:v>585</c:v>
                </c:pt>
                <c:pt idx="13">
                  <c:v>400</c:v>
                </c:pt>
                <c:pt idx="1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21A-9012-1FF1F8853D6D}"/>
            </c:ext>
          </c:extLst>
        </c:ser>
        <c:ser>
          <c:idx val="1"/>
          <c:order val="1"/>
          <c:tx>
            <c:strRef>
              <c:f>Profit_Calculations!$C$1</c:f>
              <c:strCache>
                <c:ptCount val="1"/>
                <c:pt idx="0">
                  <c:v>Cost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Profit_Calculations!$C$2:$C$16</c:f>
              <c:numCache>
                <c:formatCode>General</c:formatCode>
                <c:ptCount val="15"/>
                <c:pt idx="0">
                  <c:v>220</c:v>
                </c:pt>
                <c:pt idx="1">
                  <c:v>180</c:v>
                </c:pt>
                <c:pt idx="2">
                  <c:v>200</c:v>
                </c:pt>
                <c:pt idx="3">
                  <c:v>300</c:v>
                </c:pt>
                <c:pt idx="4">
                  <c:v>120</c:v>
                </c:pt>
                <c:pt idx="5">
                  <c:v>550</c:v>
                </c:pt>
                <c:pt idx="6">
                  <c:v>600</c:v>
                </c:pt>
                <c:pt idx="7">
                  <c:v>520</c:v>
                </c:pt>
                <c:pt idx="8">
                  <c:v>560</c:v>
                </c:pt>
                <c:pt idx="9">
                  <c:v>570</c:v>
                </c:pt>
                <c:pt idx="10">
                  <c:v>280</c:v>
                </c:pt>
                <c:pt idx="11">
                  <c:v>340</c:v>
                </c:pt>
                <c:pt idx="12">
                  <c:v>400</c:v>
                </c:pt>
                <c:pt idx="13">
                  <c:v>250</c:v>
                </c:pt>
                <c:pt idx="1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21A-9012-1FF1F8853D6D}"/>
            </c:ext>
          </c:extLst>
        </c:ser>
        <c:ser>
          <c:idx val="2"/>
          <c:order val="2"/>
          <c:tx>
            <c:strRef>
              <c:f>Profit_Calculations!$D$1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Profit_Calculations!$D$2:$D$16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300</c:v>
                </c:pt>
                <c:pt idx="5">
                  <c:v>140</c:v>
                </c:pt>
                <c:pt idx="6">
                  <c:v>160</c:v>
                </c:pt>
                <c:pt idx="7">
                  <c:v>150</c:v>
                </c:pt>
                <c:pt idx="8">
                  <c:v>155</c:v>
                </c:pt>
                <c:pt idx="9">
                  <c:v>145</c:v>
                </c:pt>
                <c:pt idx="10">
                  <c:v>200</c:v>
                </c:pt>
                <c:pt idx="11">
                  <c:v>180</c:v>
                </c:pt>
                <c:pt idx="12">
                  <c:v>150</c:v>
                </c:pt>
                <c:pt idx="13">
                  <c:v>220</c:v>
                </c:pt>
                <c:pt idx="1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2-421A-9012-1FF1F8853D6D}"/>
            </c:ext>
          </c:extLst>
        </c:ser>
        <c:ser>
          <c:idx val="3"/>
          <c:order val="3"/>
          <c:tx>
            <c:strRef>
              <c:f>Profit_Calculations!$E$1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Profit_Calculations!$E$2:$E$16</c:f>
              <c:numCache>
                <c:formatCode>General</c:formatCode>
                <c:ptCount val="15"/>
                <c:pt idx="0">
                  <c:v>47250</c:v>
                </c:pt>
                <c:pt idx="1">
                  <c:v>53200</c:v>
                </c:pt>
                <c:pt idx="2">
                  <c:v>57600</c:v>
                </c:pt>
                <c:pt idx="3">
                  <c:v>64800</c:v>
                </c:pt>
                <c:pt idx="4">
                  <c:v>75000</c:v>
                </c:pt>
                <c:pt idx="5">
                  <c:v>101150</c:v>
                </c:pt>
                <c:pt idx="6">
                  <c:v>129600</c:v>
                </c:pt>
                <c:pt idx="7">
                  <c:v>114000</c:v>
                </c:pt>
                <c:pt idx="8">
                  <c:v>118575</c:v>
                </c:pt>
                <c:pt idx="9">
                  <c:v>110925</c:v>
                </c:pt>
                <c:pt idx="10">
                  <c:v>85500</c:v>
                </c:pt>
                <c:pt idx="11">
                  <c:v>89100</c:v>
                </c:pt>
                <c:pt idx="12">
                  <c:v>87750</c:v>
                </c:pt>
                <c:pt idx="13">
                  <c:v>88000</c:v>
                </c:pt>
                <c:pt idx="14">
                  <c:v>90250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2-421A-9012-1FF1F8853D6D}"/>
            </c:ext>
          </c:extLst>
        </c:ser>
        <c:ser>
          <c:idx val="4"/>
          <c:order val="4"/>
          <c:tx>
            <c:strRef>
              <c:f>Profit_Calculations!$F$1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Profit_Calculations!$F$2:$F$16</c:f>
              <c:numCache>
                <c:formatCode>General</c:formatCode>
                <c:ptCount val="15"/>
                <c:pt idx="0">
                  <c:v>33000</c:v>
                </c:pt>
                <c:pt idx="1">
                  <c:v>36000</c:v>
                </c:pt>
                <c:pt idx="2">
                  <c:v>36000</c:v>
                </c:pt>
                <c:pt idx="3">
                  <c:v>48000</c:v>
                </c:pt>
                <c:pt idx="4">
                  <c:v>36000</c:v>
                </c:pt>
                <c:pt idx="5">
                  <c:v>77000</c:v>
                </c:pt>
                <c:pt idx="6">
                  <c:v>96000</c:v>
                </c:pt>
                <c:pt idx="7">
                  <c:v>78000</c:v>
                </c:pt>
                <c:pt idx="8">
                  <c:v>86800</c:v>
                </c:pt>
                <c:pt idx="9">
                  <c:v>82650</c:v>
                </c:pt>
                <c:pt idx="10">
                  <c:v>56000</c:v>
                </c:pt>
                <c:pt idx="11">
                  <c:v>61200</c:v>
                </c:pt>
                <c:pt idx="12">
                  <c:v>60000</c:v>
                </c:pt>
                <c:pt idx="13">
                  <c:v>55000</c:v>
                </c:pt>
                <c:pt idx="14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42-421A-9012-1FF1F8853D6D}"/>
            </c:ext>
          </c:extLst>
        </c:ser>
        <c:ser>
          <c:idx val="5"/>
          <c:order val="5"/>
          <c:tx>
            <c:strRef>
              <c:f>Profit_Calculations!$G$1</c:f>
              <c:strCache>
                <c:ptCount val="1"/>
                <c:pt idx="0">
                  <c:v>Monthly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Profit_Calculations!$G$2:$G$16</c:f>
              <c:numCache>
                <c:formatCode>General</c:formatCode>
                <c:ptCount val="15"/>
                <c:pt idx="0">
                  <c:v>14250</c:v>
                </c:pt>
                <c:pt idx="1">
                  <c:v>17200</c:v>
                </c:pt>
                <c:pt idx="2">
                  <c:v>21600</c:v>
                </c:pt>
                <c:pt idx="3">
                  <c:v>16800</c:v>
                </c:pt>
                <c:pt idx="4">
                  <c:v>39000</c:v>
                </c:pt>
                <c:pt idx="5">
                  <c:v>24150</c:v>
                </c:pt>
                <c:pt idx="6">
                  <c:v>33600</c:v>
                </c:pt>
                <c:pt idx="7">
                  <c:v>36000</c:v>
                </c:pt>
                <c:pt idx="8">
                  <c:v>31775</c:v>
                </c:pt>
                <c:pt idx="9">
                  <c:v>28275</c:v>
                </c:pt>
                <c:pt idx="10">
                  <c:v>29500</c:v>
                </c:pt>
                <c:pt idx="11">
                  <c:v>27900</c:v>
                </c:pt>
                <c:pt idx="12">
                  <c:v>27750</c:v>
                </c:pt>
                <c:pt idx="13">
                  <c:v>33000</c:v>
                </c:pt>
                <c:pt idx="14">
                  <c:v>33250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42-421A-9012-1FF1F8853D6D}"/>
            </c:ext>
          </c:extLst>
        </c:ser>
        <c:ser>
          <c:idx val="6"/>
          <c:order val="6"/>
          <c:tx>
            <c:strRef>
              <c:f>Profit_Calculations!$H$1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Profit_Calculations!$H$2:$H$16</c:f>
              <c:numCache>
                <c:formatCode>General</c:formatCode>
                <c:ptCount val="15"/>
                <c:pt idx="0">
                  <c:v>43.18181818181818</c:v>
                </c:pt>
                <c:pt idx="1">
                  <c:v>47.777777777777779</c:v>
                </c:pt>
                <c:pt idx="2">
                  <c:v>60</c:v>
                </c:pt>
                <c:pt idx="3">
                  <c:v>35</c:v>
                </c:pt>
                <c:pt idx="4">
                  <c:v>108.33333333333333</c:v>
                </c:pt>
                <c:pt idx="5">
                  <c:v>31.363636363636367</c:v>
                </c:pt>
                <c:pt idx="6">
                  <c:v>35</c:v>
                </c:pt>
                <c:pt idx="7">
                  <c:v>46.153846153846153</c:v>
                </c:pt>
                <c:pt idx="8">
                  <c:v>36.607142857142854</c:v>
                </c:pt>
                <c:pt idx="9">
                  <c:v>34.210526315789473</c:v>
                </c:pt>
                <c:pt idx="10">
                  <c:v>52.678571428571431</c:v>
                </c:pt>
                <c:pt idx="11">
                  <c:v>45.588235294117645</c:v>
                </c:pt>
                <c:pt idx="12">
                  <c:v>46.25</c:v>
                </c:pt>
                <c:pt idx="13">
                  <c:v>60</c:v>
                </c:pt>
                <c:pt idx="14">
                  <c:v>58.333333333333336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42-421A-9012-1FF1F885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171264"/>
        <c:axId val="1759168864"/>
      </c:barChart>
      <c:catAx>
        <c:axId val="175917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9168864"/>
        <c:crosses val="autoZero"/>
        <c:auto val="1"/>
        <c:lblAlgn val="ctr"/>
        <c:lblOffset val="100"/>
        <c:noMultiLvlLbl val="0"/>
      </c:catAx>
      <c:valAx>
        <c:axId val="175916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91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Summary!$A$4:$A$5</c:f>
              <c:strCache>
                <c:ptCount val="2"/>
                <c:pt idx="0">
                  <c:v>Total Monthly Profit</c:v>
                </c:pt>
                <c:pt idx="1">
                  <c:v>Total Yearly Profit</c:v>
                </c:pt>
              </c:strCache>
            </c:strRef>
          </c:cat>
          <c:val>
            <c:numRef>
              <c:f>Summary!$B$4:$B$5</c:f>
              <c:numCache>
                <c:formatCode>General</c:formatCode>
                <c:ptCount val="2"/>
                <c:pt idx="0">
                  <c:v>414050</c:v>
                </c:pt>
                <c:pt idx="1">
                  <c:v>4968600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B-4639-A40E-16F4B5A78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Summary!$A$2:$A$3</c:f>
              <c:strCache>
                <c:ptCount val="2"/>
                <c:pt idx="0">
                  <c:v>Average Selling Price</c:v>
                </c:pt>
                <c:pt idx="1">
                  <c:v>Average Cost Price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517.4</c:v>
                </c:pt>
                <c:pt idx="1">
                  <c:v>359.33333333333331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0-41CE-A150-42A1BEE9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Profit / Loss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Profit/Loss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Dashboard!$B$2:$B$13</c:f>
              <c:numCache>
                <c:formatCode>General</c:formatCode>
                <c:ptCount val="12"/>
                <c:pt idx="0">
                  <c:v>420000</c:v>
                </c:pt>
                <c:pt idx="1">
                  <c:v>380000</c:v>
                </c:pt>
                <c:pt idx="2">
                  <c:v>-55000</c:v>
                </c:pt>
                <c:pt idx="3">
                  <c:v>460000</c:v>
                </c:pt>
                <c:pt idx="4">
                  <c:v>500000</c:v>
                </c:pt>
                <c:pt idx="5">
                  <c:v>-72000</c:v>
                </c:pt>
                <c:pt idx="6">
                  <c:v>610000</c:v>
                </c:pt>
                <c:pt idx="7">
                  <c:v>580000</c:v>
                </c:pt>
                <c:pt idx="8">
                  <c:v>450000</c:v>
                </c:pt>
                <c:pt idx="9">
                  <c:v>-90000</c:v>
                </c:pt>
                <c:pt idx="10">
                  <c:v>640000</c:v>
                </c:pt>
                <c:pt idx="11">
                  <c:v>700000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F6-4B18-8A3E-5334F35D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PKR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0</xdr:row>
      <xdr:rowOff>179070</xdr:rowOff>
    </xdr:from>
    <xdr:to>
      <xdr:col>16</xdr:col>
      <xdr:colOff>289560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3FB6-59F5-0A8B-9624-49893658A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3810</xdr:rowOff>
    </xdr:from>
    <xdr:to>
      <xdr:col>18</xdr:col>
      <xdr:colOff>304800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2606E-736F-A8D7-378C-E8BF3E980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289560</xdr:colOff>
      <xdr:row>2</xdr:row>
      <xdr:rowOff>179070</xdr:rowOff>
    </xdr:from>
    <xdr:to>
      <xdr:col>9</xdr:col>
      <xdr:colOff>594360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50C9D-4BDB-4C87-9888-2F5F1177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</xdr:colOff>
      <xdr:row>1</xdr:row>
      <xdr:rowOff>0</xdr:rowOff>
    </xdr:from>
    <xdr:ext cx="5814060" cy="32994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2" sqref="G2"/>
    </sheetView>
  </sheetViews>
  <sheetFormatPr defaultRowHeight="14.4" x14ac:dyDescent="0.3"/>
  <cols>
    <col min="2" max="2" width="17.33203125" bestFit="1" customWidth="1"/>
    <col min="3" max="3" width="8.6640625" bestFit="1" customWidth="1"/>
    <col min="4" max="4" width="9.109375" bestFit="1" customWidth="1"/>
    <col min="5" max="5" width="10.5546875" bestFit="1" customWidth="1"/>
    <col min="6" max="6" width="10" bestFit="1" customWidth="1"/>
    <col min="7" max="7" width="9.21875" bestFit="1" customWidth="1"/>
    <col min="8" max="8" width="16.44140625" bestFit="1" customWidth="1"/>
  </cols>
  <sheetData>
    <row r="1" spans="1: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4" t="s">
        <v>9</v>
      </c>
      <c r="C2" s="6" t="s">
        <v>10</v>
      </c>
      <c r="D2" s="4">
        <v>220</v>
      </c>
      <c r="E2" s="5">
        <v>350</v>
      </c>
      <c r="F2" s="4">
        <v>10</v>
      </c>
      <c r="G2" s="5">
        <f t="shared" ref="G2:G16" si="0">IF(F2&gt;0,E2-(E2*F2/100),E2)</f>
        <v>315</v>
      </c>
      <c r="H2" s="4">
        <v>150</v>
      </c>
    </row>
    <row r="3" spans="1:8" x14ac:dyDescent="0.3">
      <c r="A3" s="5" t="s">
        <v>11</v>
      </c>
      <c r="B3" s="4" t="s">
        <v>12</v>
      </c>
      <c r="C3" s="6" t="s">
        <v>10</v>
      </c>
      <c r="D3" s="4">
        <v>180</v>
      </c>
      <c r="E3" s="5">
        <v>280</v>
      </c>
      <c r="F3" s="4">
        <v>5</v>
      </c>
      <c r="G3" s="5">
        <f t="shared" si="0"/>
        <v>266</v>
      </c>
      <c r="H3" s="4">
        <v>200</v>
      </c>
    </row>
    <row r="4" spans="1:8" x14ac:dyDescent="0.3">
      <c r="A4" s="5" t="s">
        <v>13</v>
      </c>
      <c r="B4" s="4" t="s">
        <v>14</v>
      </c>
      <c r="C4" s="6" t="s">
        <v>10</v>
      </c>
      <c r="D4" s="4">
        <v>200</v>
      </c>
      <c r="E4" s="5">
        <v>320</v>
      </c>
      <c r="F4" s="4">
        <v>0</v>
      </c>
      <c r="G4" s="5">
        <f t="shared" si="0"/>
        <v>320</v>
      </c>
      <c r="H4" s="4">
        <v>180</v>
      </c>
    </row>
    <row r="5" spans="1:8" x14ac:dyDescent="0.3">
      <c r="A5" s="5" t="s">
        <v>15</v>
      </c>
      <c r="B5" s="4" t="s">
        <v>16</v>
      </c>
      <c r="C5" s="6" t="s">
        <v>10</v>
      </c>
      <c r="D5" s="4">
        <v>300</v>
      </c>
      <c r="E5" s="5">
        <v>450</v>
      </c>
      <c r="F5" s="4">
        <v>10</v>
      </c>
      <c r="G5" s="5">
        <f t="shared" si="0"/>
        <v>405</v>
      </c>
      <c r="H5" s="4">
        <v>160</v>
      </c>
    </row>
    <row r="6" spans="1:8" x14ac:dyDescent="0.3">
      <c r="A6" s="5" t="s">
        <v>17</v>
      </c>
      <c r="B6" s="4" t="s">
        <v>18</v>
      </c>
      <c r="C6" s="6" t="s">
        <v>10</v>
      </c>
      <c r="D6" s="4">
        <v>120</v>
      </c>
      <c r="E6" s="5">
        <v>250</v>
      </c>
      <c r="F6" s="4">
        <v>0</v>
      </c>
      <c r="G6" s="5">
        <f t="shared" si="0"/>
        <v>250</v>
      </c>
      <c r="H6" s="4">
        <v>300</v>
      </c>
    </row>
    <row r="7" spans="1:8" x14ac:dyDescent="0.3">
      <c r="A7" s="5" t="s">
        <v>19</v>
      </c>
      <c r="B7" s="4" t="s">
        <v>20</v>
      </c>
      <c r="C7" s="6" t="s">
        <v>21</v>
      </c>
      <c r="D7" s="4">
        <v>550</v>
      </c>
      <c r="E7" s="5">
        <v>850</v>
      </c>
      <c r="F7" s="4">
        <v>15</v>
      </c>
      <c r="G7" s="5">
        <f t="shared" si="0"/>
        <v>722.5</v>
      </c>
      <c r="H7" s="4">
        <v>140</v>
      </c>
    </row>
    <row r="8" spans="1:8" x14ac:dyDescent="0.3">
      <c r="A8" s="5" t="s">
        <v>22</v>
      </c>
      <c r="B8" s="4" t="s">
        <v>23</v>
      </c>
      <c r="C8" s="6" t="s">
        <v>21</v>
      </c>
      <c r="D8" s="4">
        <v>600</v>
      </c>
      <c r="E8" s="5">
        <v>900</v>
      </c>
      <c r="F8" s="4">
        <v>10</v>
      </c>
      <c r="G8" s="5">
        <f t="shared" si="0"/>
        <v>810</v>
      </c>
      <c r="H8" s="4">
        <v>160</v>
      </c>
    </row>
    <row r="9" spans="1:8" x14ac:dyDescent="0.3">
      <c r="A9" s="5" t="s">
        <v>24</v>
      </c>
      <c r="B9" s="4" t="s">
        <v>25</v>
      </c>
      <c r="C9" s="6" t="s">
        <v>21</v>
      </c>
      <c r="D9" s="4">
        <v>520</v>
      </c>
      <c r="E9" s="5">
        <v>800</v>
      </c>
      <c r="F9" s="4">
        <v>5</v>
      </c>
      <c r="G9" s="5">
        <f t="shared" si="0"/>
        <v>760</v>
      </c>
      <c r="H9" s="4">
        <v>150</v>
      </c>
    </row>
    <row r="10" spans="1:8" x14ac:dyDescent="0.3">
      <c r="A10" s="5" t="s">
        <v>26</v>
      </c>
      <c r="B10" s="4" t="s">
        <v>27</v>
      </c>
      <c r="C10" s="6" t="s">
        <v>21</v>
      </c>
      <c r="D10" s="4">
        <v>560</v>
      </c>
      <c r="E10" s="5">
        <v>850</v>
      </c>
      <c r="F10" s="4">
        <v>10</v>
      </c>
      <c r="G10" s="5">
        <f t="shared" si="0"/>
        <v>765</v>
      </c>
      <c r="H10" s="4">
        <v>155</v>
      </c>
    </row>
    <row r="11" spans="1:8" x14ac:dyDescent="0.3">
      <c r="A11" s="5" t="s">
        <v>28</v>
      </c>
      <c r="B11" s="4" t="s">
        <v>29</v>
      </c>
      <c r="C11" s="6" t="s">
        <v>21</v>
      </c>
      <c r="D11" s="4">
        <v>570</v>
      </c>
      <c r="E11" s="5">
        <v>850</v>
      </c>
      <c r="F11" s="4">
        <v>10</v>
      </c>
      <c r="G11" s="5">
        <f t="shared" si="0"/>
        <v>765</v>
      </c>
      <c r="H11" s="4">
        <v>145</v>
      </c>
    </row>
    <row r="12" spans="1:8" x14ac:dyDescent="0.3">
      <c r="A12" s="5" t="s">
        <v>30</v>
      </c>
      <c r="B12" s="4" t="s">
        <v>31</v>
      </c>
      <c r="C12" s="6" t="s">
        <v>32</v>
      </c>
      <c r="D12" s="4">
        <v>280</v>
      </c>
      <c r="E12" s="5">
        <v>450</v>
      </c>
      <c r="F12" s="4">
        <v>5</v>
      </c>
      <c r="G12" s="5">
        <f t="shared" si="0"/>
        <v>427.5</v>
      </c>
      <c r="H12" s="4">
        <v>200</v>
      </c>
    </row>
    <row r="13" spans="1:8" x14ac:dyDescent="0.3">
      <c r="A13" s="5" t="s">
        <v>33</v>
      </c>
      <c r="B13" s="4" t="s">
        <v>34</v>
      </c>
      <c r="C13" s="6" t="s">
        <v>32</v>
      </c>
      <c r="D13" s="4">
        <v>340</v>
      </c>
      <c r="E13" s="5">
        <v>550</v>
      </c>
      <c r="F13" s="4">
        <v>10</v>
      </c>
      <c r="G13" s="5">
        <f t="shared" si="0"/>
        <v>495</v>
      </c>
      <c r="H13" s="4">
        <v>180</v>
      </c>
    </row>
    <row r="14" spans="1:8" x14ac:dyDescent="0.3">
      <c r="A14" s="5" t="s">
        <v>35</v>
      </c>
      <c r="B14" s="4" t="s">
        <v>36</v>
      </c>
      <c r="C14" s="6" t="s">
        <v>32</v>
      </c>
      <c r="D14" s="4">
        <v>400</v>
      </c>
      <c r="E14" s="5">
        <v>650</v>
      </c>
      <c r="F14" s="4">
        <v>10</v>
      </c>
      <c r="G14" s="5">
        <f t="shared" si="0"/>
        <v>585</v>
      </c>
      <c r="H14" s="4">
        <v>150</v>
      </c>
    </row>
    <row r="15" spans="1:8" x14ac:dyDescent="0.3">
      <c r="A15" s="5" t="s">
        <v>37</v>
      </c>
      <c r="B15" s="4" t="s">
        <v>38</v>
      </c>
      <c r="C15" s="6" t="s">
        <v>32</v>
      </c>
      <c r="D15" s="4">
        <v>250</v>
      </c>
      <c r="E15" s="5">
        <v>400</v>
      </c>
      <c r="F15" s="4">
        <v>0</v>
      </c>
      <c r="G15" s="5">
        <f t="shared" si="0"/>
        <v>400</v>
      </c>
      <c r="H15" s="4">
        <v>220</v>
      </c>
    </row>
    <row r="16" spans="1:8" x14ac:dyDescent="0.3">
      <c r="A16" s="5" t="s">
        <v>39</v>
      </c>
      <c r="B16" s="4" t="s">
        <v>40</v>
      </c>
      <c r="C16" s="6" t="s">
        <v>32</v>
      </c>
      <c r="D16" s="4">
        <v>300</v>
      </c>
      <c r="E16" s="5">
        <v>500</v>
      </c>
      <c r="F16" s="4">
        <v>5</v>
      </c>
      <c r="G16" s="5">
        <f t="shared" si="0"/>
        <v>475</v>
      </c>
      <c r="H16" s="4">
        <v>190</v>
      </c>
    </row>
  </sheetData>
  <dataValidations count="1">
    <dataValidation type="decimal" sqref="F2:F16" xr:uid="{00000000-0002-0000-0000-000000000000}">
      <formula1>0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O22" sqref="O22"/>
    </sheetView>
  </sheetViews>
  <sheetFormatPr defaultRowHeight="14.4" x14ac:dyDescent="0.3"/>
  <cols>
    <col min="1" max="1" width="17.33203125" bestFit="1" customWidth="1"/>
    <col min="2" max="2" width="9.44140625" bestFit="1" customWidth="1"/>
    <col min="3" max="3" width="9.21875" bestFit="1" customWidth="1"/>
    <col min="4" max="4" width="5.33203125" bestFit="1" customWidth="1"/>
    <col min="5" max="5" width="16.109375" bestFit="1" customWidth="1"/>
    <col min="6" max="6" width="12.33203125" bestFit="1" customWidth="1"/>
    <col min="7" max="7" width="13.44140625" bestFit="1" customWidth="1"/>
    <col min="8" max="8" width="12" bestFit="1" customWidth="1"/>
  </cols>
  <sheetData>
    <row r="1" spans="1:8" s="1" customFormat="1" x14ac:dyDescent="0.3">
      <c r="A1" s="3" t="s">
        <v>1</v>
      </c>
      <c r="B1" s="3" t="s">
        <v>6</v>
      </c>
      <c r="C1" s="3" t="s">
        <v>3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</row>
    <row r="2" spans="1:8" x14ac:dyDescent="0.3">
      <c r="A2" s="5" t="str">
        <f>Raw_Data!B2</f>
        <v>Calzone Chunks</v>
      </c>
      <c r="B2" s="6">
        <f>Raw_Data!G2</f>
        <v>315</v>
      </c>
      <c r="C2" s="5">
        <f>Raw_Data!D2</f>
        <v>220</v>
      </c>
      <c r="D2" s="6">
        <f>Raw_Data!H2</f>
        <v>150</v>
      </c>
      <c r="E2" s="5">
        <f t="shared" ref="E2:E16" si="0">B2*D2</f>
        <v>47250</v>
      </c>
      <c r="F2" s="6">
        <f t="shared" ref="F2:F16" si="1">C2*D2</f>
        <v>33000</v>
      </c>
      <c r="G2" s="5">
        <f t="shared" ref="G2:G16" si="2">E2-F2</f>
        <v>14250</v>
      </c>
      <c r="H2" s="6">
        <f t="shared" ref="H2:H16" si="3">IF(F2=0,0,(G2/F2)*100)</f>
        <v>43.18181818181818</v>
      </c>
    </row>
    <row r="3" spans="1:8" x14ac:dyDescent="0.3">
      <c r="A3" s="5" t="str">
        <f>Raw_Data!B3</f>
        <v>Bihari Rolls</v>
      </c>
      <c r="B3" s="6">
        <f>Raw_Data!G3</f>
        <v>266</v>
      </c>
      <c r="C3" s="5">
        <f>Raw_Data!D3</f>
        <v>180</v>
      </c>
      <c r="D3" s="6">
        <f>Raw_Data!H3</f>
        <v>200</v>
      </c>
      <c r="E3" s="5">
        <f t="shared" si="0"/>
        <v>53200</v>
      </c>
      <c r="F3" s="6">
        <f t="shared" si="1"/>
        <v>36000</v>
      </c>
      <c r="G3" s="5">
        <f t="shared" si="2"/>
        <v>17200</v>
      </c>
      <c r="H3" s="6">
        <f t="shared" si="3"/>
        <v>47.777777777777779</v>
      </c>
    </row>
    <row r="4" spans="1:8" x14ac:dyDescent="0.3">
      <c r="A4" s="5" t="str">
        <f>Raw_Data!B4</f>
        <v>Cheesy Sticks</v>
      </c>
      <c r="B4" s="6">
        <f>Raw_Data!G4</f>
        <v>320</v>
      </c>
      <c r="C4" s="5">
        <f>Raw_Data!D4</f>
        <v>200</v>
      </c>
      <c r="D4" s="6">
        <f>Raw_Data!H4</f>
        <v>180</v>
      </c>
      <c r="E4" s="5">
        <f t="shared" si="0"/>
        <v>57600</v>
      </c>
      <c r="F4" s="6">
        <f t="shared" si="1"/>
        <v>36000</v>
      </c>
      <c r="G4" s="5">
        <f t="shared" si="2"/>
        <v>21600</v>
      </c>
      <c r="H4" s="6">
        <f t="shared" si="3"/>
        <v>60</v>
      </c>
    </row>
    <row r="5" spans="1:8" x14ac:dyDescent="0.3">
      <c r="A5" s="5" t="str">
        <f>Raw_Data!B5</f>
        <v>Chicken Wings</v>
      </c>
      <c r="B5" s="6">
        <f>Raw_Data!G5</f>
        <v>405</v>
      </c>
      <c r="C5" s="5">
        <f>Raw_Data!D5</f>
        <v>300</v>
      </c>
      <c r="D5" s="6">
        <f>Raw_Data!H5</f>
        <v>160</v>
      </c>
      <c r="E5" s="5">
        <f t="shared" si="0"/>
        <v>64800</v>
      </c>
      <c r="F5" s="6">
        <f t="shared" si="1"/>
        <v>48000</v>
      </c>
      <c r="G5" s="5">
        <f t="shared" si="2"/>
        <v>16800</v>
      </c>
      <c r="H5" s="6">
        <f t="shared" si="3"/>
        <v>35</v>
      </c>
    </row>
    <row r="6" spans="1:8" x14ac:dyDescent="0.3">
      <c r="A6" s="5" t="str">
        <f>Raw_Data!B6</f>
        <v>French Fries</v>
      </c>
      <c r="B6" s="6">
        <f>Raw_Data!G6</f>
        <v>250</v>
      </c>
      <c r="C6" s="5">
        <f>Raw_Data!D6</f>
        <v>120</v>
      </c>
      <c r="D6" s="6">
        <f>Raw_Data!H6</f>
        <v>300</v>
      </c>
      <c r="E6" s="5">
        <f t="shared" si="0"/>
        <v>75000</v>
      </c>
      <c r="F6" s="6">
        <f t="shared" si="1"/>
        <v>36000</v>
      </c>
      <c r="G6" s="5">
        <f t="shared" si="2"/>
        <v>39000</v>
      </c>
      <c r="H6" s="6">
        <f t="shared" si="3"/>
        <v>108.33333333333333</v>
      </c>
    </row>
    <row r="7" spans="1:8" x14ac:dyDescent="0.3">
      <c r="A7" s="5" t="str">
        <f>Raw_Data!B7</f>
        <v>Crown Crust Pizza</v>
      </c>
      <c r="B7" s="6">
        <f>Raw_Data!G7</f>
        <v>722.5</v>
      </c>
      <c r="C7" s="5">
        <f>Raw_Data!D7</f>
        <v>550</v>
      </c>
      <c r="D7" s="6">
        <f>Raw_Data!H7</f>
        <v>140</v>
      </c>
      <c r="E7" s="5">
        <f t="shared" si="0"/>
        <v>101150</v>
      </c>
      <c r="F7" s="6">
        <f t="shared" si="1"/>
        <v>77000</v>
      </c>
      <c r="G7" s="5">
        <f t="shared" si="2"/>
        <v>24150</v>
      </c>
      <c r="H7" s="6">
        <f t="shared" si="3"/>
        <v>31.363636363636367</v>
      </c>
    </row>
    <row r="8" spans="1:8" x14ac:dyDescent="0.3">
      <c r="A8" s="5" t="str">
        <f>Raw_Data!B8</f>
        <v>Chicken Fajita Pizza</v>
      </c>
      <c r="B8" s="6">
        <f>Raw_Data!G8</f>
        <v>810</v>
      </c>
      <c r="C8" s="5">
        <f>Raw_Data!D8</f>
        <v>600</v>
      </c>
      <c r="D8" s="6">
        <f>Raw_Data!H8</f>
        <v>160</v>
      </c>
      <c r="E8" s="5">
        <f t="shared" si="0"/>
        <v>129600</v>
      </c>
      <c r="F8" s="6">
        <f t="shared" si="1"/>
        <v>96000</v>
      </c>
      <c r="G8" s="5">
        <f t="shared" si="2"/>
        <v>33600</v>
      </c>
      <c r="H8" s="6">
        <f t="shared" si="3"/>
        <v>35</v>
      </c>
    </row>
    <row r="9" spans="1:8" x14ac:dyDescent="0.3">
      <c r="A9" s="5" t="str">
        <f>Raw_Data!B9</f>
        <v>Cheese Lovers Pizza</v>
      </c>
      <c r="B9" s="6">
        <f>Raw_Data!G9</f>
        <v>760</v>
      </c>
      <c r="C9" s="5">
        <f>Raw_Data!D9</f>
        <v>520</v>
      </c>
      <c r="D9" s="6">
        <f>Raw_Data!H9</f>
        <v>150</v>
      </c>
      <c r="E9" s="5">
        <f t="shared" si="0"/>
        <v>114000</v>
      </c>
      <c r="F9" s="6">
        <f t="shared" si="1"/>
        <v>78000</v>
      </c>
      <c r="G9" s="5">
        <f t="shared" si="2"/>
        <v>36000</v>
      </c>
      <c r="H9" s="6">
        <f t="shared" si="3"/>
        <v>46.153846153846153</v>
      </c>
    </row>
    <row r="10" spans="1:8" x14ac:dyDescent="0.3">
      <c r="A10" s="5" t="str">
        <f>Raw_Data!B10</f>
        <v>Chicken Tikka Pizza</v>
      </c>
      <c r="B10" s="6">
        <f>Raw_Data!G10</f>
        <v>765</v>
      </c>
      <c r="C10" s="5">
        <f>Raw_Data!D10</f>
        <v>560</v>
      </c>
      <c r="D10" s="6">
        <f>Raw_Data!H10</f>
        <v>155</v>
      </c>
      <c r="E10" s="5">
        <f t="shared" si="0"/>
        <v>118575</v>
      </c>
      <c r="F10" s="6">
        <f t="shared" si="1"/>
        <v>86800</v>
      </c>
      <c r="G10" s="5">
        <f t="shared" si="2"/>
        <v>31775</v>
      </c>
      <c r="H10" s="6">
        <f t="shared" si="3"/>
        <v>36.607142857142854</v>
      </c>
    </row>
    <row r="11" spans="1:8" x14ac:dyDescent="0.3">
      <c r="A11" s="5" t="str">
        <f>Raw_Data!B11</f>
        <v>Malai Tikka Pizza</v>
      </c>
      <c r="B11" s="6">
        <f>Raw_Data!G11</f>
        <v>765</v>
      </c>
      <c r="C11" s="5">
        <f>Raw_Data!D11</f>
        <v>570</v>
      </c>
      <c r="D11" s="6">
        <f>Raw_Data!H11</f>
        <v>145</v>
      </c>
      <c r="E11" s="5">
        <f t="shared" si="0"/>
        <v>110925</v>
      </c>
      <c r="F11" s="6">
        <f t="shared" si="1"/>
        <v>82650</v>
      </c>
      <c r="G11" s="5">
        <f t="shared" si="2"/>
        <v>28275</v>
      </c>
      <c r="H11" s="6">
        <f t="shared" si="3"/>
        <v>34.210526315789473</v>
      </c>
    </row>
    <row r="12" spans="1:8" x14ac:dyDescent="0.3">
      <c r="A12" s="5" t="str">
        <f>Raw_Data!B12</f>
        <v>Reggy Burger</v>
      </c>
      <c r="B12" s="6">
        <f>Raw_Data!G12</f>
        <v>427.5</v>
      </c>
      <c r="C12" s="5">
        <f>Raw_Data!D12</f>
        <v>280</v>
      </c>
      <c r="D12" s="6">
        <f>Raw_Data!H12</f>
        <v>200</v>
      </c>
      <c r="E12" s="5">
        <f t="shared" si="0"/>
        <v>85500</v>
      </c>
      <c r="F12" s="6">
        <f t="shared" si="1"/>
        <v>56000</v>
      </c>
      <c r="G12" s="5">
        <f t="shared" si="2"/>
        <v>29500</v>
      </c>
      <c r="H12" s="6">
        <f t="shared" si="3"/>
        <v>52.678571428571431</v>
      </c>
    </row>
    <row r="13" spans="1:8" x14ac:dyDescent="0.3">
      <c r="A13" s="5" t="str">
        <f>Raw_Data!B13</f>
        <v>Bazinga Burger</v>
      </c>
      <c r="B13" s="6">
        <f>Raw_Data!G13</f>
        <v>495</v>
      </c>
      <c r="C13" s="5">
        <f>Raw_Data!D13</f>
        <v>340</v>
      </c>
      <c r="D13" s="6">
        <f>Raw_Data!H13</f>
        <v>180</v>
      </c>
      <c r="E13" s="5">
        <f t="shared" si="0"/>
        <v>89100</v>
      </c>
      <c r="F13" s="6">
        <f t="shared" si="1"/>
        <v>61200</v>
      </c>
      <c r="G13" s="5">
        <f t="shared" si="2"/>
        <v>27900</v>
      </c>
      <c r="H13" s="6">
        <f t="shared" si="3"/>
        <v>45.588235294117645</v>
      </c>
    </row>
    <row r="14" spans="1:8" x14ac:dyDescent="0.3">
      <c r="A14" s="5" t="str">
        <f>Raw_Data!B14</f>
        <v>Bazooka Burger</v>
      </c>
      <c r="B14" s="6">
        <f>Raw_Data!G14</f>
        <v>585</v>
      </c>
      <c r="C14" s="5">
        <f>Raw_Data!D14</f>
        <v>400</v>
      </c>
      <c r="D14" s="6">
        <f>Raw_Data!H14</f>
        <v>150</v>
      </c>
      <c r="E14" s="5">
        <f t="shared" si="0"/>
        <v>87750</v>
      </c>
      <c r="F14" s="6">
        <f t="shared" si="1"/>
        <v>60000</v>
      </c>
      <c r="G14" s="5">
        <f t="shared" si="2"/>
        <v>27750</v>
      </c>
      <c r="H14" s="6">
        <f t="shared" si="3"/>
        <v>46.25</v>
      </c>
    </row>
    <row r="15" spans="1:8" x14ac:dyDescent="0.3">
      <c r="A15" s="5" t="str">
        <f>Raw_Data!B15</f>
        <v>Chicken Burger</v>
      </c>
      <c r="B15" s="6">
        <f>Raw_Data!G15</f>
        <v>400</v>
      </c>
      <c r="C15" s="5">
        <f>Raw_Data!D15</f>
        <v>250</v>
      </c>
      <c r="D15" s="6">
        <f>Raw_Data!H15</f>
        <v>220</v>
      </c>
      <c r="E15" s="5">
        <f t="shared" si="0"/>
        <v>88000</v>
      </c>
      <c r="F15" s="6">
        <f t="shared" si="1"/>
        <v>55000</v>
      </c>
      <c r="G15" s="5">
        <f t="shared" si="2"/>
        <v>33000</v>
      </c>
      <c r="H15" s="6">
        <f t="shared" si="3"/>
        <v>60</v>
      </c>
    </row>
    <row r="16" spans="1:8" x14ac:dyDescent="0.3">
      <c r="A16" s="5" t="str">
        <f>Raw_Data!B16</f>
        <v>Cheese Burger</v>
      </c>
      <c r="B16" s="6">
        <f>Raw_Data!G16</f>
        <v>475</v>
      </c>
      <c r="C16" s="5">
        <f>Raw_Data!D16</f>
        <v>300</v>
      </c>
      <c r="D16" s="6">
        <f>Raw_Data!H16</f>
        <v>190</v>
      </c>
      <c r="E16" s="5">
        <f t="shared" si="0"/>
        <v>90250</v>
      </c>
      <c r="F16" s="6">
        <f t="shared" si="1"/>
        <v>57000</v>
      </c>
      <c r="G16" s="5">
        <f t="shared" si="2"/>
        <v>33250</v>
      </c>
      <c r="H16" s="6">
        <f t="shared" si="3"/>
        <v>58.333333333333336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:B3"/>
    </sheetView>
  </sheetViews>
  <sheetFormatPr defaultRowHeight="14.4" x14ac:dyDescent="0.3"/>
  <cols>
    <col min="1" max="1" width="17.77734375" bestFit="1" customWidth="1"/>
    <col min="2" max="2" width="12" bestFit="1" customWidth="1"/>
  </cols>
  <sheetData>
    <row r="1" spans="1:2" s="1" customFormat="1" x14ac:dyDescent="0.3">
      <c r="A1" s="3" t="s">
        <v>46</v>
      </c>
      <c r="B1" s="3" t="s">
        <v>47</v>
      </c>
    </row>
    <row r="2" spans="1:2" x14ac:dyDescent="0.3">
      <c r="A2" s="5" t="s">
        <v>48</v>
      </c>
      <c r="B2" s="4">
        <f>AVERAGE(Raw_Data!G2:G16)</f>
        <v>517.4</v>
      </c>
    </row>
    <row r="3" spans="1:2" x14ac:dyDescent="0.3">
      <c r="A3" s="5" t="s">
        <v>49</v>
      </c>
      <c r="B3" s="4">
        <f>AVERAGE(Raw_Data!D2:D16)</f>
        <v>359.33333333333331</v>
      </c>
    </row>
    <row r="4" spans="1:2" x14ac:dyDescent="0.3">
      <c r="A4" s="5" t="s">
        <v>50</v>
      </c>
      <c r="B4" s="4">
        <f>SUM(Profit_Calculations!G2:G16)</f>
        <v>414050</v>
      </c>
    </row>
    <row r="5" spans="1:2" x14ac:dyDescent="0.3">
      <c r="A5" s="5" t="s">
        <v>51</v>
      </c>
      <c r="B5" s="4">
        <f>B4*12</f>
        <v>4968600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20" sqref="B20"/>
    </sheetView>
  </sheetViews>
  <sheetFormatPr defaultRowHeight="14.4" x14ac:dyDescent="0.3"/>
  <cols>
    <col min="2" max="2" width="11.21875" customWidth="1"/>
  </cols>
  <sheetData>
    <row r="1" spans="1:2" s="1" customFormat="1" x14ac:dyDescent="0.3">
      <c r="A1" s="3" t="s">
        <v>52</v>
      </c>
      <c r="B1" s="3" t="s">
        <v>65</v>
      </c>
    </row>
    <row r="2" spans="1:2" x14ac:dyDescent="0.3">
      <c r="A2" s="5" t="s">
        <v>53</v>
      </c>
      <c r="B2" s="4">
        <v>420000</v>
      </c>
    </row>
    <row r="3" spans="1:2" x14ac:dyDescent="0.3">
      <c r="A3" s="5" t="s">
        <v>54</v>
      </c>
      <c r="B3" s="4">
        <v>380000</v>
      </c>
    </row>
    <row r="4" spans="1:2" x14ac:dyDescent="0.3">
      <c r="A4" s="5" t="s">
        <v>55</v>
      </c>
      <c r="B4" s="4">
        <v>-55000</v>
      </c>
    </row>
    <row r="5" spans="1:2" x14ac:dyDescent="0.3">
      <c r="A5" s="5" t="s">
        <v>56</v>
      </c>
      <c r="B5" s="4">
        <v>460000</v>
      </c>
    </row>
    <row r="6" spans="1:2" x14ac:dyDescent="0.3">
      <c r="A6" s="5" t="s">
        <v>57</v>
      </c>
      <c r="B6" s="4">
        <v>500000</v>
      </c>
    </row>
    <row r="7" spans="1:2" x14ac:dyDescent="0.3">
      <c r="A7" s="5" t="s">
        <v>58</v>
      </c>
      <c r="B7" s="4">
        <v>-72000</v>
      </c>
    </row>
    <row r="8" spans="1:2" x14ac:dyDescent="0.3">
      <c r="A8" s="5" t="s">
        <v>59</v>
      </c>
      <c r="B8" s="4">
        <v>610000</v>
      </c>
    </row>
    <row r="9" spans="1:2" x14ac:dyDescent="0.3">
      <c r="A9" s="5" t="s">
        <v>60</v>
      </c>
      <c r="B9" s="4">
        <v>580000</v>
      </c>
    </row>
    <row r="10" spans="1:2" x14ac:dyDescent="0.3">
      <c r="A10" s="5" t="s">
        <v>61</v>
      </c>
      <c r="B10" s="4">
        <v>450000</v>
      </c>
    </row>
    <row r="11" spans="1:2" x14ac:dyDescent="0.3">
      <c r="A11" s="5" t="s">
        <v>62</v>
      </c>
      <c r="B11" s="4">
        <v>-90000</v>
      </c>
    </row>
    <row r="12" spans="1:2" x14ac:dyDescent="0.3">
      <c r="A12" s="5" t="s">
        <v>63</v>
      </c>
      <c r="B12" s="4">
        <v>640000</v>
      </c>
    </row>
    <row r="13" spans="1:2" x14ac:dyDescent="0.3">
      <c r="A13" s="5" t="s">
        <v>64</v>
      </c>
      <c r="B13" s="4">
        <v>700000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Profit_Calculations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Masham Munir</cp:lastModifiedBy>
  <dcterms:created xsi:type="dcterms:W3CDTF">2026-01-04T04:07:18Z</dcterms:created>
  <dcterms:modified xsi:type="dcterms:W3CDTF">2026-01-04T10:39:14Z</dcterms:modified>
</cp:coreProperties>
</file>